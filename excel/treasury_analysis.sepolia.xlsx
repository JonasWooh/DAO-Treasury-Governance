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35" windowHeight="12851"/>
  </bookViews>
  <sheets>
    <sheet name="Inputs" sheetId="1" r:id="rId1"/>
    <sheet name="ScenarioMatrix" sheetId="2" r:id="rId2"/>
    <sheet name="NAVProjection" sheetId="3" r:id="rId3"/>
    <sheet name="ReserveSensitivity" sheetId="4" r:id="rId4"/>
    <sheet name="Char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<sst xmlns="http://schemas.openxmlformats.org/spreadsheetml/2006/main" count="276" uniqueCount="66">
  <si>
    <t>Input</t>
  </si>
  <si>
    <t>Value</t>
  </si>
  <si>
    <t>Price Path</t>
  </si>
  <si>
    <t>End Multiplier</t>
  </si>
  <si>
    <t>Yield Assumption</t>
  </si>
  <si>
    <t>APR</t>
  </si>
  <si>
    <t>Payout Schedule</t>
  </si>
  <si>
    <t>Total Payout WETH</t>
  </si>
  <si>
    <t>Starting Total Managed WETH</t>
  </si>
  <si>
    <t>Bear</t>
  </si>
  <si>
    <t>0%</t>
  </si>
  <si>
    <t>Light</t>
  </si>
  <si>
    <t>Starting Liquid WETH</t>
  </si>
  <si>
    <t>Base</t>
  </si>
  <si>
    <t>3% APR</t>
  </si>
  <si>
    <t>Medium</t>
  </si>
  <si>
    <t>Starting Supplied WETH</t>
  </si>
  <si>
    <t>Bull</t>
  </si>
  <si>
    <t>6% APR</t>
  </si>
  <si>
    <t>Heavy</t>
  </si>
  <si>
    <t>Starting ETH Price (USD)</t>
  </si>
  <si>
    <t>Scenario</t>
  </si>
  <si>
    <t>End ETH Price USD</t>
  </si>
  <si>
    <t>End Liquid WETH</t>
  </si>
  <si>
    <t>End Supplied WETH</t>
  </si>
  <si>
    <t>End Total Managed WETH</t>
  </si>
  <si>
    <t>End Reserve Ratio</t>
  </si>
  <si>
    <t>End NAV USD</t>
  </si>
  <si>
    <t>Unrealized Gain/Loss USD</t>
  </si>
  <si>
    <t>Bear / 0% / Light</t>
  </si>
  <si>
    <t>Bear / 0% / Medium</t>
  </si>
  <si>
    <t>Bear / 0% / Heavy</t>
  </si>
  <si>
    <t>Bear / 3% APR / Light</t>
  </si>
  <si>
    <t>Bear / 3% APR / Medium</t>
  </si>
  <si>
    <t>Bear / 3% APR / Heavy</t>
  </si>
  <si>
    <t>Bear / 6% APR / Light</t>
  </si>
  <si>
    <t>Bear / 6% APR / Medium</t>
  </si>
  <si>
    <t>Bear / 6% APR / Heavy</t>
  </si>
  <si>
    <t>Base / 0% / Light</t>
  </si>
  <si>
    <t>Base / 0% / Medium</t>
  </si>
  <si>
    <t>Base / 0% / Heavy</t>
  </si>
  <si>
    <t>Base / 3% APR / Light</t>
  </si>
  <si>
    <t>Base / 3% APR / Medium</t>
  </si>
  <si>
    <t>Base / 3% APR / Heavy</t>
  </si>
  <si>
    <t>Base / 6% APR / Light</t>
  </si>
  <si>
    <t>Base / 6% APR / Medium</t>
  </si>
  <si>
    <t>Base / 6% APR / Heavy</t>
  </si>
  <si>
    <t>Bull / 0% / Light</t>
  </si>
  <si>
    <t>Bull / 0% / Medium</t>
  </si>
  <si>
    <t>Bull / 0% / Heavy</t>
  </si>
  <si>
    <t>Bull / 3% APR / Light</t>
  </si>
  <si>
    <t>Bull / 3% APR / Medium</t>
  </si>
  <si>
    <t>Bull / 3% APR / Heavy</t>
  </si>
  <si>
    <t>Bull / 6% APR / Light</t>
  </si>
  <si>
    <t>Bull / 6% APR / Medium</t>
  </si>
  <si>
    <t>Bull / 6% APR / Heavy</t>
  </si>
  <si>
    <t>Month</t>
  </si>
  <si>
    <t>Payout WETH</t>
  </si>
  <si>
    <t>Liquid WETH</t>
  </si>
  <si>
    <t>Supplied WETH</t>
  </si>
  <si>
    <t>Total Managed WETH</t>
  </si>
  <si>
    <t>ETH Price USD</t>
  </si>
  <si>
    <t>Reserve Ratio %</t>
  </si>
  <si>
    <t>NAV USD</t>
  </si>
  <si>
    <t>Yield / Payout</t>
  </si>
  <si>
    <t>Charts generated from the NAVProjection and ReserveSensitivity sheets.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</si>
</sst>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\$#,##0.00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10" fontId="0" fillId="0" borderId="0" xfId="0" applyNumberFormat="1"/>
    <xf numFmtId="176" fontId="0" fillId="0" borderId="0" xfId="0" applyNumberFormat="1"/>
    <xf numFmtId="177" fontId="0" fillId="0" borderId="0" xfId="0" applyNumberFormat="1"/>
    <xf numFmtId="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NAV projection under Bear / Base / Bull price paths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"Bear"</c:f>
              <c:strCache>
                <c:ptCount val="1"/>
                <c:pt idx="0">
                  <c:v>Bear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NAVProjection!$A$2:$A$14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NAVProjection!$K$2:$K$14</c:f>
              <c:numCache>
                <c:formatCode>"$"#,##0.00</c:formatCode>
                <c:ptCount val="13"/>
                <c:pt idx="0">
                  <c:v>5975.46</c:v>
                </c:pt>
                <c:pt idx="1">
                  <c:v>5828.97</c:v>
                </c:pt>
                <c:pt idx="2">
                  <c:v>5682.37</c:v>
                </c:pt>
                <c:pt idx="3">
                  <c:v>4614.39</c:v>
                </c:pt>
                <c:pt idx="4">
                  <c:v>4492.4</c:v>
                </c:pt>
                <c:pt idx="5">
                  <c:v>4370.24</c:v>
                </c:pt>
                <c:pt idx="6">
                  <c:v>4247.96</c:v>
                </c:pt>
                <c:pt idx="7">
                  <c:v>4125.51</c:v>
                </c:pt>
                <c:pt idx="8">
                  <c:v>4002.94</c:v>
                </c:pt>
                <c:pt idx="9">
                  <c:v>3108.37</c:v>
                </c:pt>
                <c:pt idx="10">
                  <c:v>3010.4</c:v>
                </c:pt>
                <c:pt idx="11">
                  <c:v>2912.27</c:v>
                </c:pt>
                <c:pt idx="12">
                  <c:v>2813.98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"Base"</c:f>
              <c:strCache>
                <c:ptCount val="1"/>
                <c:pt idx="0">
                  <c:v>Base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NAVProjection!$A$15:$A$27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NAVProjection!$K$15:$K$27</c:f>
              <c:numCache>
                <c:formatCode>"$"#,##0.00</c:formatCode>
                <c:ptCount val="13"/>
                <c:pt idx="0">
                  <c:v>5975.46</c:v>
                </c:pt>
                <c:pt idx="1">
                  <c:v>5978.45</c:v>
                </c:pt>
                <c:pt idx="2">
                  <c:v>5981.44</c:v>
                </c:pt>
                <c:pt idx="3">
                  <c:v>4988.54</c:v>
                </c:pt>
                <c:pt idx="4">
                  <c:v>4991.55</c:v>
                </c:pt>
                <c:pt idx="5">
                  <c:v>4994.56</c:v>
                </c:pt>
                <c:pt idx="6">
                  <c:v>4997.59</c:v>
                </c:pt>
                <c:pt idx="7">
                  <c:v>5000.62</c:v>
                </c:pt>
                <c:pt idx="8">
                  <c:v>5003.66</c:v>
                </c:pt>
                <c:pt idx="9">
                  <c:v>4010.8</c:v>
                </c:pt>
                <c:pt idx="10">
                  <c:v>4013.86</c:v>
                </c:pt>
                <c:pt idx="11">
                  <c:v>4016.92</c:v>
                </c:pt>
                <c:pt idx="12">
                  <c:v>4019.99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"Bull"</c:f>
              <c:strCache>
                <c:ptCount val="1"/>
                <c:pt idx="0">
                  <c:v>Bull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NAVProjection!$A$28:$A$40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NAVProjection!$K$28:$K$40</c:f>
              <c:numCache>
                <c:formatCode>"$"#,##0.00</c:formatCode>
                <c:ptCount val="13"/>
                <c:pt idx="0">
                  <c:v>5975.46</c:v>
                </c:pt>
                <c:pt idx="1">
                  <c:v>6127.92</c:v>
                </c:pt>
                <c:pt idx="2">
                  <c:v>6280.51</c:v>
                </c:pt>
                <c:pt idx="3">
                  <c:v>5362.68</c:v>
                </c:pt>
                <c:pt idx="4">
                  <c:v>5490.7</c:v>
                </c:pt>
                <c:pt idx="5">
                  <c:v>5618.89</c:v>
                </c:pt>
                <c:pt idx="6">
                  <c:v>5747.22</c:v>
                </c:pt>
                <c:pt idx="7">
                  <c:v>5875.73</c:v>
                </c:pt>
                <c:pt idx="8">
                  <c:v>6004.38</c:v>
                </c:pt>
                <c:pt idx="9">
                  <c:v>4913.23</c:v>
                </c:pt>
                <c:pt idx="10">
                  <c:v>5017.33</c:v>
                </c:pt>
                <c:pt idx="11">
                  <c:v>5121.57</c:v>
                </c:pt>
                <c:pt idx="12">
                  <c:v>5225.99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NAV (USD)</a:t>
                </a:r>
                <a:endParaRPr lang="en-US"/>
              </a:p>
            </c:rich>
          </c:tx>
          <c:layout/>
          <c:overlay val="0"/>
        </c:title>
        <c:numFmt formatCode="&quot;$&quot;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1000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5e11356-5fc2-4a3c-960d-a3201b52b82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Reserve ratio sensitivity (0% yield row)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"Reserve Ratio"</c:f>
              <c:strCache>
                <c:ptCount val="1"/>
                <c:pt idx="0">
                  <c:v>Reserve Ratio</c:v>
                </c:pt>
              </c:strCache>
            </c:strRef>
          </c:tx>
          <c:invertIfNegative val="0"/>
          <c:dLbls>
            <c:delete val="1"/>
          </c:dLbls>
          <c:cat>
            <c:strRef>
              <c:f>ReserveSensitivity!$B$1:$D$1</c:f>
              <c:strCache>
                <c:ptCount val="3"/>
                <c:pt idx="0">
                  <c:v>Light</c:v>
                </c:pt>
                <c:pt idx="1">
                  <c:v>Medium</c:v>
                </c:pt>
                <c:pt idx="2">
                  <c:v>Heavy</c:v>
                </c:pt>
              </c:strCache>
            </c:strRef>
          </c:cat>
          <c:val>
            <c:numRef>
              <c:f>ReserveSensitivity!$B$2:$D$2</c:f>
              <c:numCache>
                <c:formatCode>0.00%</c:formatCode>
                <c:ptCount val="3"/>
                <c:pt idx="0">
                  <c:v>0.76</c:v>
                </c:pt>
                <c:pt idx="1">
                  <c:v>0.7</c:v>
                </c:pt>
                <c:pt idx="2">
                  <c:v>0.6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Payout schedule</a:t>
                </a:r>
                <a:endParaRPr lang="en-US"/>
              </a:p>
            </c:rich>
          </c:tx>
          <c:layout/>
          <c:overlay val="0"/>
        </c:title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Reserve ratio</a:t>
                </a:r>
                <a:endParaRPr lang="en-US"/>
              </a:p>
            </c:rich>
          </c:tx>
          <c:layout/>
          <c:overlay val="0"/>
        </c:title>
        <c:numFmt formatCode="0.0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2000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b38e8b-6452-451c-978f-d81e3b28154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0</xdr:rowOff>
    </xdr:from>
    <xdr:to>
      <xdr:col>10</xdr:col>
      <xdr:colOff>304800</xdr:colOff>
      <xdr:row>19</xdr:row>
      <xdr:rowOff>57150</xdr:rowOff>
    </xdr:to>
    <xdr:graphicFrame>
      <xdr:nvGraphicFramePr>
        <xdr:cNvPr id="2" name="Chart 1"/>
        <xdr:cNvGraphicFramePr/>
      </xdr:nvGraphicFramePr>
      <xdr:xfrm>
        <a:off x="0" y="365760"/>
        <a:ext cx="6477000" cy="3166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10</xdr:col>
      <xdr:colOff>304800</xdr:colOff>
      <xdr:row>38</xdr:row>
      <xdr:rowOff>57150</xdr:rowOff>
    </xdr:to>
    <xdr:graphicFrame>
      <xdr:nvGraphicFramePr>
        <xdr:cNvPr id="3" name="Chart 2"/>
        <xdr:cNvGraphicFramePr/>
      </xdr:nvGraphicFramePr>
      <xdr:xfrm>
        <a:off x="0" y="3840480"/>
        <a:ext cx="6477000" cy="3166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topLeftCell="B1" workbookViewId="0">
      <selection activeCell="A1" sqref="A$1:L$1048576"/>
    </sheetView>
  </sheetViews>
  <sheetFormatPr defaultColWidth="9" defaultRowHeight="14.4" outlineLevelRow="4"/>
  <cols>
    <col min="1" max="1" width="31" customWidth="1"/>
    <col min="2" max="2" width="10.7777777777778" customWidth="1"/>
    <col min="4" max="4" width="13.1111111111111" customWidth="1"/>
    <col min="5" max="5" width="18.1111111111111" customWidth="1"/>
    <col min="7" max="7" width="20.6666666666667" customWidth="1"/>
    <col min="8" max="8" width="6.66666666666667" customWidth="1"/>
    <col min="10" max="10" width="19.4444444444444" customWidth="1"/>
    <col min="11" max="11" width="21.8888888888889" customWidth="1"/>
  </cols>
  <sheetData>
    <row r="1" spans="1:11">
      <c r="A1" s="1" t="s">
        <v>0</v>
      </c>
      <c r="B1" s="1" t="s">
        <v>1</v>
      </c>
      <c r="D1" s="1" t="s">
        <v>2</v>
      </c>
      <c r="E1" s="1" t="s">
        <v>3</v>
      </c>
      <c r="G1" s="1" t="s">
        <v>4</v>
      </c>
      <c r="H1" s="1" t="s">
        <v>5</v>
      </c>
      <c r="J1" s="1" t="s">
        <v>6</v>
      </c>
      <c r="K1" s="1" t="s">
        <v>7</v>
      </c>
    </row>
    <row r="2" spans="1:11">
      <c r="A2" t="s">
        <v>8</v>
      </c>
      <c r="B2" s="3">
        <v>3</v>
      </c>
      <c r="D2" t="s">
        <v>9</v>
      </c>
      <c r="E2" s="2">
        <v>0.7</v>
      </c>
      <c r="G2" t="s">
        <v>10</v>
      </c>
      <c r="H2" s="2">
        <v>0</v>
      </c>
      <c r="J2" t="s">
        <v>11</v>
      </c>
      <c r="K2" s="3">
        <v>0.5</v>
      </c>
    </row>
    <row r="3" spans="1:11">
      <c r="A3" t="s">
        <v>12</v>
      </c>
      <c r="B3" s="3">
        <v>2.4</v>
      </c>
      <c r="D3" t="s">
        <v>13</v>
      </c>
      <c r="E3" s="2">
        <v>1</v>
      </c>
      <c r="G3" t="s">
        <v>14</v>
      </c>
      <c r="H3" s="2">
        <v>0.03</v>
      </c>
      <c r="J3" t="s">
        <v>15</v>
      </c>
      <c r="K3" s="3">
        <v>1</v>
      </c>
    </row>
    <row r="4" spans="1:11">
      <c r="A4" t="s">
        <v>16</v>
      </c>
      <c r="B4" s="3">
        <v>0.6</v>
      </c>
      <c r="D4" t="s">
        <v>17</v>
      </c>
      <c r="E4" s="2">
        <v>1.3</v>
      </c>
      <c r="G4" t="s">
        <v>18</v>
      </c>
      <c r="H4" s="2">
        <v>0.06</v>
      </c>
      <c r="J4" t="s">
        <v>19</v>
      </c>
      <c r="K4" s="3">
        <v>1.5</v>
      </c>
    </row>
    <row r="5" spans="1:11">
      <c r="A5" t="s">
        <v>20</v>
      </c>
      <c r="B5" s="4">
        <v>1991.82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topLeftCell="B1" workbookViewId="0">
      <selection activeCell="A1" sqref="A$1:L$1048576"/>
    </sheetView>
  </sheetViews>
  <sheetFormatPr defaultColWidth="9" defaultRowHeight="14.4"/>
  <cols>
    <col min="1" max="1" width="25.4444444444444" customWidth="1"/>
    <col min="2" max="2" width="13.1111111111111" customWidth="1"/>
    <col min="3" max="3" width="20.6666666666667" customWidth="1"/>
    <col min="4" max="4" width="19.4444444444444" customWidth="1"/>
    <col min="5" max="5" width="21.8888888888889" customWidth="1"/>
    <col min="6" max="6" width="19.4444444444444" customWidth="1"/>
    <col min="7" max="7" width="21.8888888888889" customWidth="1"/>
    <col min="8" max="8" width="28.1111111111111" customWidth="1"/>
    <col min="9" max="9" width="21.8888888888889" customWidth="1"/>
    <col min="10" max="10" width="14.4444444444444" customWidth="1"/>
    <col min="11" max="11" width="30.6666666666667" customWidth="1"/>
  </cols>
  <sheetData>
    <row r="1" spans="1:11">
      <c r="A1" s="1" t="s">
        <v>21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  <row r="2" spans="1:11">
      <c r="A2" t="s">
        <v>29</v>
      </c>
      <c r="B2" t="s">
        <v>9</v>
      </c>
      <c r="C2" t="s">
        <v>10</v>
      </c>
      <c r="D2" t="s">
        <v>11</v>
      </c>
      <c r="E2" s="4">
        <v>1394.27</v>
      </c>
      <c r="F2" s="3">
        <v>1.9</v>
      </c>
      <c r="G2" s="3">
        <v>0.6</v>
      </c>
      <c r="H2" s="3">
        <v>2.5</v>
      </c>
      <c r="I2" s="2">
        <v>0.76</v>
      </c>
      <c r="J2" s="4">
        <v>3485.68</v>
      </c>
      <c r="K2" s="4">
        <v>-1493.88</v>
      </c>
    </row>
    <row r="3" spans="1:11">
      <c r="A3" t="s">
        <v>30</v>
      </c>
      <c r="B3" t="s">
        <v>9</v>
      </c>
      <c r="C3" t="s">
        <v>10</v>
      </c>
      <c r="D3" t="s">
        <v>15</v>
      </c>
      <c r="E3" s="4">
        <v>1394.27</v>
      </c>
      <c r="F3" s="3">
        <v>1.4</v>
      </c>
      <c r="G3" s="3">
        <v>0.6</v>
      </c>
      <c r="H3" s="3">
        <v>2</v>
      </c>
      <c r="I3" s="2">
        <v>0.7</v>
      </c>
      <c r="J3" s="4">
        <v>2788.54</v>
      </c>
      <c r="K3" s="4">
        <v>-1195.1</v>
      </c>
    </row>
    <row r="4" spans="1:11">
      <c r="A4" t="s">
        <v>31</v>
      </c>
      <c r="B4" t="s">
        <v>9</v>
      </c>
      <c r="C4" t="s">
        <v>10</v>
      </c>
      <c r="D4" t="s">
        <v>19</v>
      </c>
      <c r="E4" s="4">
        <v>1394.27</v>
      </c>
      <c r="F4" s="3">
        <v>0.9</v>
      </c>
      <c r="G4" s="3">
        <v>0.6</v>
      </c>
      <c r="H4" s="3">
        <v>1.5</v>
      </c>
      <c r="I4" s="2">
        <v>0.6</v>
      </c>
      <c r="J4" s="4">
        <v>2091.41</v>
      </c>
      <c r="K4" s="4">
        <v>-896.33</v>
      </c>
    </row>
    <row r="5" spans="1:11">
      <c r="A5" t="s">
        <v>32</v>
      </c>
      <c r="B5" t="s">
        <v>9</v>
      </c>
      <c r="C5" t="s">
        <v>14</v>
      </c>
      <c r="D5" t="s">
        <v>11</v>
      </c>
      <c r="E5" s="4">
        <v>1394.27</v>
      </c>
      <c r="F5" s="3">
        <v>1.9</v>
      </c>
      <c r="G5" s="3">
        <v>0.6182</v>
      </c>
      <c r="H5" s="3">
        <v>2.5182</v>
      </c>
      <c r="I5" s="2">
        <v>0.754492334479099</v>
      </c>
      <c r="J5" s="4">
        <v>3511.12</v>
      </c>
      <c r="K5" s="4">
        <v>-1504.78</v>
      </c>
    </row>
    <row r="6" spans="1:11">
      <c r="A6" t="s">
        <v>33</v>
      </c>
      <c r="B6" t="s">
        <v>9</v>
      </c>
      <c r="C6" t="s">
        <v>14</v>
      </c>
      <c r="D6" t="s">
        <v>15</v>
      </c>
      <c r="E6" s="4">
        <v>1394.27</v>
      </c>
      <c r="F6" s="3">
        <v>1.4</v>
      </c>
      <c r="G6" s="3">
        <v>0.6182</v>
      </c>
      <c r="H6" s="3">
        <v>2.0182</v>
      </c>
      <c r="I6" s="2">
        <v>0.693670405252499</v>
      </c>
      <c r="J6" s="4">
        <v>2813.98</v>
      </c>
      <c r="K6" s="4">
        <v>-1206.01</v>
      </c>
    </row>
    <row r="7" spans="1:11">
      <c r="A7" t="s">
        <v>34</v>
      </c>
      <c r="B7" t="s">
        <v>9</v>
      </c>
      <c r="C7" t="s">
        <v>14</v>
      </c>
      <c r="D7" t="s">
        <v>19</v>
      </c>
      <c r="E7" s="4">
        <v>1394.27</v>
      </c>
      <c r="F7" s="3">
        <v>0.9</v>
      </c>
      <c r="G7" s="3">
        <v>0.6182</v>
      </c>
      <c r="H7" s="3">
        <v>1.5182</v>
      </c>
      <c r="I7" s="2">
        <v>0.592787915323469</v>
      </c>
      <c r="J7" s="4">
        <v>2116.85</v>
      </c>
      <c r="K7" s="4">
        <v>-907.23</v>
      </c>
    </row>
    <row r="8" spans="1:11">
      <c r="A8" t="s">
        <v>35</v>
      </c>
      <c r="B8" t="s">
        <v>9</v>
      </c>
      <c r="C8" t="s">
        <v>18</v>
      </c>
      <c r="D8" t="s">
        <v>11</v>
      </c>
      <c r="E8" s="4">
        <v>1394.27</v>
      </c>
      <c r="F8" s="3">
        <v>1.9</v>
      </c>
      <c r="G8" s="3">
        <v>0.637</v>
      </c>
      <c r="H8" s="3">
        <v>2.537</v>
      </c>
      <c r="I8" s="2">
        <v>0.748914068554485</v>
      </c>
      <c r="J8" s="4">
        <v>3537.27</v>
      </c>
      <c r="K8" s="4">
        <v>-1515.99</v>
      </c>
    </row>
    <row r="9" spans="1:11">
      <c r="A9" t="s">
        <v>36</v>
      </c>
      <c r="B9" t="s">
        <v>9</v>
      </c>
      <c r="C9" t="s">
        <v>18</v>
      </c>
      <c r="D9" t="s">
        <v>15</v>
      </c>
      <c r="E9" s="4">
        <v>1394.27</v>
      </c>
      <c r="F9" s="3">
        <v>1.4</v>
      </c>
      <c r="G9" s="3">
        <v>0.637</v>
      </c>
      <c r="H9" s="3">
        <v>2.037</v>
      </c>
      <c r="I9" s="2">
        <v>0.687282967136582</v>
      </c>
      <c r="J9" s="4">
        <v>2840.14</v>
      </c>
      <c r="K9" s="4">
        <v>-1217.21</v>
      </c>
    </row>
    <row r="10" spans="1:11">
      <c r="A10" t="s">
        <v>37</v>
      </c>
      <c r="B10" t="s">
        <v>9</v>
      </c>
      <c r="C10" t="s">
        <v>18</v>
      </c>
      <c r="D10" t="s">
        <v>19</v>
      </c>
      <c r="E10" s="4">
        <v>1394.27</v>
      </c>
      <c r="F10" s="3">
        <v>0.9</v>
      </c>
      <c r="G10" s="3">
        <v>0.637</v>
      </c>
      <c r="H10" s="3">
        <v>1.537</v>
      </c>
      <c r="I10" s="2">
        <v>0.58555373086057</v>
      </c>
      <c r="J10" s="4">
        <v>2143</v>
      </c>
      <c r="K10" s="4">
        <v>-918.44</v>
      </c>
    </row>
    <row r="11" spans="1:11">
      <c r="A11" t="s">
        <v>38</v>
      </c>
      <c r="B11" t="s">
        <v>13</v>
      </c>
      <c r="C11" t="s">
        <v>10</v>
      </c>
      <c r="D11" t="s">
        <v>11</v>
      </c>
      <c r="E11" s="4">
        <v>1991.82</v>
      </c>
      <c r="F11" s="3">
        <v>1.9</v>
      </c>
      <c r="G11" s="3">
        <v>0.6</v>
      </c>
      <c r="H11" s="3">
        <v>2.5</v>
      </c>
      <c r="I11" s="2">
        <v>0.76</v>
      </c>
      <c r="J11" s="4">
        <v>4979.55</v>
      </c>
      <c r="K11" s="4">
        <v>0</v>
      </c>
    </row>
    <row r="12" spans="1:11">
      <c r="A12" t="s">
        <v>39</v>
      </c>
      <c r="B12" t="s">
        <v>13</v>
      </c>
      <c r="C12" t="s">
        <v>10</v>
      </c>
      <c r="D12" t="s">
        <v>15</v>
      </c>
      <c r="E12" s="4">
        <v>1991.82</v>
      </c>
      <c r="F12" s="3">
        <v>1.4</v>
      </c>
      <c r="G12" s="3">
        <v>0.6</v>
      </c>
      <c r="H12" s="3">
        <v>2</v>
      </c>
      <c r="I12" s="2">
        <v>0.7</v>
      </c>
      <c r="J12" s="4">
        <v>3983.64</v>
      </c>
      <c r="K12" s="4">
        <v>0</v>
      </c>
    </row>
    <row r="13" spans="1:11">
      <c r="A13" t="s">
        <v>40</v>
      </c>
      <c r="B13" t="s">
        <v>13</v>
      </c>
      <c r="C13" t="s">
        <v>10</v>
      </c>
      <c r="D13" t="s">
        <v>19</v>
      </c>
      <c r="E13" s="4">
        <v>1991.82</v>
      </c>
      <c r="F13" s="3">
        <v>0.9</v>
      </c>
      <c r="G13" s="3">
        <v>0.6</v>
      </c>
      <c r="H13" s="3">
        <v>1.5</v>
      </c>
      <c r="I13" s="2">
        <v>0.6</v>
      </c>
      <c r="J13" s="4">
        <v>2987.73</v>
      </c>
      <c r="K13" s="4">
        <v>0</v>
      </c>
    </row>
    <row r="14" spans="1:11">
      <c r="A14" t="s">
        <v>41</v>
      </c>
      <c r="B14" t="s">
        <v>13</v>
      </c>
      <c r="C14" t="s">
        <v>14</v>
      </c>
      <c r="D14" t="s">
        <v>11</v>
      </c>
      <c r="E14" s="4">
        <v>1991.82</v>
      </c>
      <c r="F14" s="3">
        <v>1.9</v>
      </c>
      <c r="G14" s="3">
        <v>0.6182</v>
      </c>
      <c r="H14" s="3">
        <v>2.5182</v>
      </c>
      <c r="I14" s="2">
        <v>0.754492334479099</v>
      </c>
      <c r="J14" s="4">
        <v>5015.9</v>
      </c>
      <c r="K14" s="4">
        <v>0</v>
      </c>
    </row>
    <row r="15" spans="1:11">
      <c r="A15" t="s">
        <v>42</v>
      </c>
      <c r="B15" t="s">
        <v>13</v>
      </c>
      <c r="C15" t="s">
        <v>14</v>
      </c>
      <c r="D15" t="s">
        <v>15</v>
      </c>
      <c r="E15" s="4">
        <v>1991.82</v>
      </c>
      <c r="F15" s="3">
        <v>1.4</v>
      </c>
      <c r="G15" s="3">
        <v>0.6182</v>
      </c>
      <c r="H15" s="3">
        <v>2.0182</v>
      </c>
      <c r="I15" s="2">
        <v>0.693670405252499</v>
      </c>
      <c r="J15" s="4">
        <v>4019.99</v>
      </c>
      <c r="K15" s="4">
        <v>0</v>
      </c>
    </row>
    <row r="16" spans="1:11">
      <c r="A16" t="s">
        <v>43</v>
      </c>
      <c r="B16" t="s">
        <v>13</v>
      </c>
      <c r="C16" t="s">
        <v>14</v>
      </c>
      <c r="D16" t="s">
        <v>19</v>
      </c>
      <c r="E16" s="4">
        <v>1991.82</v>
      </c>
      <c r="F16" s="3">
        <v>0.9</v>
      </c>
      <c r="G16" s="3">
        <v>0.6182</v>
      </c>
      <c r="H16" s="3">
        <v>1.5182</v>
      </c>
      <c r="I16" s="2">
        <v>0.592787915323469</v>
      </c>
      <c r="J16" s="4">
        <v>3024.08</v>
      </c>
      <c r="K16" s="4">
        <v>0</v>
      </c>
    </row>
    <row r="17" spans="1:11">
      <c r="A17" t="s">
        <v>44</v>
      </c>
      <c r="B17" t="s">
        <v>13</v>
      </c>
      <c r="C17" t="s">
        <v>18</v>
      </c>
      <c r="D17" t="s">
        <v>11</v>
      </c>
      <c r="E17" s="4">
        <v>1991.82</v>
      </c>
      <c r="F17" s="3">
        <v>1.9</v>
      </c>
      <c r="G17" s="3">
        <v>0.637</v>
      </c>
      <c r="H17" s="3">
        <v>2.537</v>
      </c>
      <c r="I17" s="2">
        <v>0.748914068554485</v>
      </c>
      <c r="J17" s="4">
        <v>5053.26</v>
      </c>
      <c r="K17" s="4">
        <v>0</v>
      </c>
    </row>
    <row r="18" spans="1:11">
      <c r="A18" t="s">
        <v>45</v>
      </c>
      <c r="B18" t="s">
        <v>13</v>
      </c>
      <c r="C18" t="s">
        <v>18</v>
      </c>
      <c r="D18" t="s">
        <v>15</v>
      </c>
      <c r="E18" s="4">
        <v>1991.82</v>
      </c>
      <c r="F18" s="3">
        <v>1.4</v>
      </c>
      <c r="G18" s="3">
        <v>0.637</v>
      </c>
      <c r="H18" s="3">
        <v>2.037</v>
      </c>
      <c r="I18" s="2">
        <v>0.687282967136582</v>
      </c>
      <c r="J18" s="4">
        <v>4057.35</v>
      </c>
      <c r="K18" s="4">
        <v>0</v>
      </c>
    </row>
    <row r="19" spans="1:11">
      <c r="A19" t="s">
        <v>46</v>
      </c>
      <c r="B19" t="s">
        <v>13</v>
      </c>
      <c r="C19" t="s">
        <v>18</v>
      </c>
      <c r="D19" t="s">
        <v>19</v>
      </c>
      <c r="E19" s="4">
        <v>1991.82</v>
      </c>
      <c r="F19" s="3">
        <v>0.9</v>
      </c>
      <c r="G19" s="3">
        <v>0.637</v>
      </c>
      <c r="H19" s="3">
        <v>1.537</v>
      </c>
      <c r="I19" s="2">
        <v>0.58555373086057</v>
      </c>
      <c r="J19" s="4">
        <v>3061.44</v>
      </c>
      <c r="K19" s="4">
        <v>0</v>
      </c>
    </row>
    <row r="20" spans="1:11">
      <c r="A20" t="s">
        <v>47</v>
      </c>
      <c r="B20" t="s">
        <v>17</v>
      </c>
      <c r="C20" t="s">
        <v>10</v>
      </c>
      <c r="D20" t="s">
        <v>11</v>
      </c>
      <c r="E20" s="4">
        <v>2589.37</v>
      </c>
      <c r="F20" s="3">
        <v>1.9</v>
      </c>
      <c r="G20" s="3">
        <v>0.6</v>
      </c>
      <c r="H20" s="3">
        <v>2.5</v>
      </c>
      <c r="I20" s="2">
        <v>0.76</v>
      </c>
      <c r="J20" s="4">
        <v>6473.43</v>
      </c>
      <c r="K20" s="4">
        <v>1493.88</v>
      </c>
    </row>
    <row r="21" spans="1:11">
      <c r="A21" t="s">
        <v>48</v>
      </c>
      <c r="B21" t="s">
        <v>17</v>
      </c>
      <c r="C21" t="s">
        <v>10</v>
      </c>
      <c r="D21" t="s">
        <v>15</v>
      </c>
      <c r="E21" s="4">
        <v>2589.37</v>
      </c>
      <c r="F21" s="3">
        <v>1.4</v>
      </c>
      <c r="G21" s="3">
        <v>0.6</v>
      </c>
      <c r="H21" s="3">
        <v>2</v>
      </c>
      <c r="I21" s="2">
        <v>0.7</v>
      </c>
      <c r="J21" s="4">
        <v>5178.74</v>
      </c>
      <c r="K21" s="4">
        <v>1195.1</v>
      </c>
    </row>
    <row r="22" spans="1:11">
      <c r="A22" t="s">
        <v>49</v>
      </c>
      <c r="B22" t="s">
        <v>17</v>
      </c>
      <c r="C22" t="s">
        <v>10</v>
      </c>
      <c r="D22" t="s">
        <v>19</v>
      </c>
      <c r="E22" s="4">
        <v>2589.37</v>
      </c>
      <c r="F22" s="3">
        <v>0.9</v>
      </c>
      <c r="G22" s="3">
        <v>0.6</v>
      </c>
      <c r="H22" s="3">
        <v>1.5</v>
      </c>
      <c r="I22" s="2">
        <v>0.6</v>
      </c>
      <c r="J22" s="4">
        <v>3884.06</v>
      </c>
      <c r="K22" s="4">
        <v>896.33</v>
      </c>
    </row>
    <row r="23" spans="1:11">
      <c r="A23" t="s">
        <v>50</v>
      </c>
      <c r="B23" t="s">
        <v>17</v>
      </c>
      <c r="C23" t="s">
        <v>14</v>
      </c>
      <c r="D23" t="s">
        <v>11</v>
      </c>
      <c r="E23" s="4">
        <v>2589.37</v>
      </c>
      <c r="F23" s="3">
        <v>1.9</v>
      </c>
      <c r="G23" s="3">
        <v>0.6182</v>
      </c>
      <c r="H23" s="3">
        <v>2.5182</v>
      </c>
      <c r="I23" s="2">
        <v>0.754492334479099</v>
      </c>
      <c r="J23" s="4">
        <v>6520.68</v>
      </c>
      <c r="K23" s="4">
        <v>1504.78</v>
      </c>
    </row>
    <row r="24" spans="1:11">
      <c r="A24" t="s">
        <v>51</v>
      </c>
      <c r="B24" t="s">
        <v>17</v>
      </c>
      <c r="C24" t="s">
        <v>14</v>
      </c>
      <c r="D24" t="s">
        <v>15</v>
      </c>
      <c r="E24" s="4">
        <v>2589.37</v>
      </c>
      <c r="F24" s="3">
        <v>1.4</v>
      </c>
      <c r="G24" s="3">
        <v>0.6182</v>
      </c>
      <c r="H24" s="3">
        <v>2.0182</v>
      </c>
      <c r="I24" s="2">
        <v>0.693670405252499</v>
      </c>
      <c r="J24" s="4">
        <v>5225.99</v>
      </c>
      <c r="K24" s="4">
        <v>1206.01</v>
      </c>
    </row>
    <row r="25" spans="1:11">
      <c r="A25" t="s">
        <v>52</v>
      </c>
      <c r="B25" t="s">
        <v>17</v>
      </c>
      <c r="C25" t="s">
        <v>14</v>
      </c>
      <c r="D25" t="s">
        <v>19</v>
      </c>
      <c r="E25" s="4">
        <v>2589.37</v>
      </c>
      <c r="F25" s="3">
        <v>0.9</v>
      </c>
      <c r="G25" s="3">
        <v>0.6182</v>
      </c>
      <c r="H25" s="3">
        <v>1.5182</v>
      </c>
      <c r="I25" s="2">
        <v>0.592787915323469</v>
      </c>
      <c r="J25" s="4">
        <v>3931.31</v>
      </c>
      <c r="K25" s="4">
        <v>907.23</v>
      </c>
    </row>
    <row r="26" spans="1:11">
      <c r="A26" t="s">
        <v>53</v>
      </c>
      <c r="B26" t="s">
        <v>17</v>
      </c>
      <c r="C26" t="s">
        <v>18</v>
      </c>
      <c r="D26" t="s">
        <v>11</v>
      </c>
      <c r="E26" s="4">
        <v>2589.37</v>
      </c>
      <c r="F26" s="3">
        <v>1.9</v>
      </c>
      <c r="G26" s="3">
        <v>0.637</v>
      </c>
      <c r="H26" s="3">
        <v>2.537</v>
      </c>
      <c r="I26" s="2">
        <v>0.748914068554485</v>
      </c>
      <c r="J26" s="4">
        <v>6569.25</v>
      </c>
      <c r="K26" s="4">
        <v>1515.99</v>
      </c>
    </row>
    <row r="27" spans="1:11">
      <c r="A27" t="s">
        <v>54</v>
      </c>
      <c r="B27" t="s">
        <v>17</v>
      </c>
      <c r="C27" t="s">
        <v>18</v>
      </c>
      <c r="D27" t="s">
        <v>15</v>
      </c>
      <c r="E27" s="4">
        <v>2589.37</v>
      </c>
      <c r="F27" s="3">
        <v>1.4</v>
      </c>
      <c r="G27" s="3">
        <v>0.637</v>
      </c>
      <c r="H27" s="3">
        <v>2.037</v>
      </c>
      <c r="I27" s="2">
        <v>0.687282967136582</v>
      </c>
      <c r="J27" s="4">
        <v>5274.56</v>
      </c>
      <c r="K27" s="4">
        <v>1217.21</v>
      </c>
    </row>
    <row r="28" spans="1:11">
      <c r="A28" t="s">
        <v>55</v>
      </c>
      <c r="B28" t="s">
        <v>17</v>
      </c>
      <c r="C28" t="s">
        <v>18</v>
      </c>
      <c r="D28" t="s">
        <v>19</v>
      </c>
      <c r="E28" s="4">
        <v>2589.37</v>
      </c>
      <c r="F28" s="3">
        <v>0.9</v>
      </c>
      <c r="G28" s="3">
        <v>0.637</v>
      </c>
      <c r="H28" s="3">
        <v>1.537</v>
      </c>
      <c r="I28" s="2">
        <v>0.58555373086057</v>
      </c>
      <c r="J28" s="4">
        <v>3979.88</v>
      </c>
      <c r="K28" s="4">
        <v>918.44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workbookViewId="0">
      <selection activeCell="A1" sqref="A$1:K$1048576"/>
    </sheetView>
  </sheetViews>
  <sheetFormatPr defaultColWidth="9" defaultRowHeight="14.4"/>
  <cols>
    <col min="1" max="1" width="7.22222222222222" customWidth="1"/>
    <col min="2" max="2" width="13.1111111111111" customWidth="1"/>
    <col min="3" max="3" width="20.6666666666667" customWidth="1"/>
    <col min="4" max="4" width="19.4444444444444" customWidth="1"/>
    <col min="5" max="6" width="14.4444444444444" customWidth="1"/>
    <col min="7" max="7" width="16.8888888888889" customWidth="1"/>
    <col min="8" max="8" width="23.1111111111111" customWidth="1"/>
    <col min="9" max="9" width="16.8888888888889" customWidth="1"/>
    <col min="10" max="10" width="19.4444444444444" customWidth="1"/>
    <col min="11" max="11" width="10.7777777777778" customWidth="1"/>
  </cols>
  <sheetData>
    <row r="1" spans="1:11">
      <c r="A1" s="1" t="s">
        <v>56</v>
      </c>
      <c r="B1" s="1" t="s">
        <v>2</v>
      </c>
      <c r="C1" s="1" t="s">
        <v>4</v>
      </c>
      <c r="D1" s="1" t="s">
        <v>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</row>
    <row r="2" spans="1:11">
      <c r="A2">
        <v>0</v>
      </c>
      <c r="B2" t="s">
        <v>9</v>
      </c>
      <c r="C2" t="s">
        <v>14</v>
      </c>
      <c r="D2" t="s">
        <v>15</v>
      </c>
      <c r="E2" s="3">
        <v>0</v>
      </c>
      <c r="F2" s="3">
        <v>2.4</v>
      </c>
      <c r="G2" s="3">
        <v>0.6</v>
      </c>
      <c r="H2" s="3">
        <v>3</v>
      </c>
      <c r="I2" s="4">
        <v>1991.82</v>
      </c>
      <c r="J2" s="5">
        <v>80</v>
      </c>
      <c r="K2" s="4">
        <v>5975.46</v>
      </c>
    </row>
    <row r="3" spans="1:11">
      <c r="A3">
        <v>1</v>
      </c>
      <c r="B3" t="s">
        <v>9</v>
      </c>
      <c r="C3" t="s">
        <v>14</v>
      </c>
      <c r="D3" t="s">
        <v>15</v>
      </c>
      <c r="E3" s="3">
        <v>0</v>
      </c>
      <c r="F3" s="3">
        <v>2.4</v>
      </c>
      <c r="G3" s="3">
        <v>0.6015</v>
      </c>
      <c r="H3" s="3">
        <v>3.0015</v>
      </c>
      <c r="I3" s="4">
        <v>1942.02</v>
      </c>
      <c r="J3" s="5">
        <v>79.96</v>
      </c>
      <c r="K3" s="4">
        <v>5828.97</v>
      </c>
    </row>
    <row r="4" spans="1:11">
      <c r="A4">
        <v>2</v>
      </c>
      <c r="B4" t="s">
        <v>9</v>
      </c>
      <c r="C4" t="s">
        <v>14</v>
      </c>
      <c r="D4" t="s">
        <v>15</v>
      </c>
      <c r="E4" s="3">
        <v>0</v>
      </c>
      <c r="F4" s="3">
        <v>2.4</v>
      </c>
      <c r="G4" s="3">
        <v>0.603</v>
      </c>
      <c r="H4" s="3">
        <v>3.003</v>
      </c>
      <c r="I4" s="4">
        <v>1892.23</v>
      </c>
      <c r="J4" s="5">
        <v>79.92</v>
      </c>
      <c r="K4" s="4">
        <v>5682.37</v>
      </c>
    </row>
    <row r="5" spans="1:11">
      <c r="A5">
        <v>3</v>
      </c>
      <c r="B5" t="s">
        <v>9</v>
      </c>
      <c r="C5" t="s">
        <v>14</v>
      </c>
      <c r="D5" t="s">
        <v>15</v>
      </c>
      <c r="E5" s="3">
        <v>0.5</v>
      </c>
      <c r="F5" s="3">
        <v>1.9</v>
      </c>
      <c r="G5" s="3">
        <v>0.6045</v>
      </c>
      <c r="H5" s="3">
        <v>2.5045</v>
      </c>
      <c r="I5" s="4">
        <v>1842.43</v>
      </c>
      <c r="J5" s="5">
        <v>75.86</v>
      </c>
      <c r="K5" s="4">
        <v>4614.39</v>
      </c>
    </row>
    <row r="6" spans="1:11">
      <c r="A6">
        <v>4</v>
      </c>
      <c r="B6" t="s">
        <v>9</v>
      </c>
      <c r="C6" t="s">
        <v>14</v>
      </c>
      <c r="D6" t="s">
        <v>15</v>
      </c>
      <c r="E6" s="3">
        <v>0</v>
      </c>
      <c r="F6" s="3">
        <v>1.9</v>
      </c>
      <c r="G6" s="3">
        <v>0.606</v>
      </c>
      <c r="H6" s="3">
        <v>2.506</v>
      </c>
      <c r="I6" s="4">
        <v>1792.64</v>
      </c>
      <c r="J6" s="5">
        <v>75.82</v>
      </c>
      <c r="K6" s="4">
        <v>4492.4</v>
      </c>
    </row>
    <row r="7" spans="1:11">
      <c r="A7">
        <v>5</v>
      </c>
      <c r="B7" t="s">
        <v>9</v>
      </c>
      <c r="C7" t="s">
        <v>14</v>
      </c>
      <c r="D7" t="s">
        <v>15</v>
      </c>
      <c r="E7" s="3">
        <v>0</v>
      </c>
      <c r="F7" s="3">
        <v>1.9</v>
      </c>
      <c r="G7" s="3">
        <v>0.6075</v>
      </c>
      <c r="H7" s="3">
        <v>2.5075</v>
      </c>
      <c r="I7" s="4">
        <v>1742.84</v>
      </c>
      <c r="J7" s="5">
        <v>75.77</v>
      </c>
      <c r="K7" s="4">
        <v>4370.24</v>
      </c>
    </row>
    <row r="8" spans="1:11">
      <c r="A8">
        <v>6</v>
      </c>
      <c r="B8" t="s">
        <v>9</v>
      </c>
      <c r="C8" t="s">
        <v>14</v>
      </c>
      <c r="D8" t="s">
        <v>15</v>
      </c>
      <c r="E8" s="3">
        <v>0</v>
      </c>
      <c r="F8" s="3">
        <v>1.9</v>
      </c>
      <c r="G8" s="3">
        <v>0.6091</v>
      </c>
      <c r="H8" s="3">
        <v>2.5091</v>
      </c>
      <c r="I8" s="4">
        <v>1693.05</v>
      </c>
      <c r="J8" s="5">
        <v>75.73</v>
      </c>
      <c r="K8" s="4">
        <v>4247.96</v>
      </c>
    </row>
    <row r="9" spans="1:11">
      <c r="A9">
        <v>7</v>
      </c>
      <c r="B9" t="s">
        <v>9</v>
      </c>
      <c r="C9" t="s">
        <v>14</v>
      </c>
      <c r="D9" t="s">
        <v>15</v>
      </c>
      <c r="E9" s="3">
        <v>0</v>
      </c>
      <c r="F9" s="3">
        <v>1.9</v>
      </c>
      <c r="G9" s="3">
        <v>0.6106</v>
      </c>
      <c r="H9" s="3">
        <v>2.5106</v>
      </c>
      <c r="I9" s="4">
        <v>1643.25</v>
      </c>
      <c r="J9" s="5">
        <v>75.68</v>
      </c>
      <c r="K9" s="4">
        <v>4125.51</v>
      </c>
    </row>
    <row r="10" spans="1:11">
      <c r="A10">
        <v>8</v>
      </c>
      <c r="B10" t="s">
        <v>9</v>
      </c>
      <c r="C10" t="s">
        <v>14</v>
      </c>
      <c r="D10" t="s">
        <v>15</v>
      </c>
      <c r="E10" s="3">
        <v>0</v>
      </c>
      <c r="F10" s="3">
        <v>1.9</v>
      </c>
      <c r="G10" s="3">
        <v>0.6121</v>
      </c>
      <c r="H10" s="3">
        <v>2.5121</v>
      </c>
      <c r="I10" s="4">
        <v>1593.46</v>
      </c>
      <c r="J10" s="5">
        <v>75.63</v>
      </c>
      <c r="K10" s="4">
        <v>4002.94</v>
      </c>
    </row>
    <row r="11" spans="1:11">
      <c r="A11">
        <v>9</v>
      </c>
      <c r="B11" t="s">
        <v>9</v>
      </c>
      <c r="C11" t="s">
        <v>14</v>
      </c>
      <c r="D11" t="s">
        <v>15</v>
      </c>
      <c r="E11" s="3">
        <v>0.5</v>
      </c>
      <c r="F11" s="3">
        <v>1.4</v>
      </c>
      <c r="G11" s="3">
        <v>0.6136</v>
      </c>
      <c r="H11" s="3">
        <v>2.0136</v>
      </c>
      <c r="I11" s="4">
        <v>1543.66</v>
      </c>
      <c r="J11" s="5">
        <v>69.53</v>
      </c>
      <c r="K11" s="4">
        <v>3108.37</v>
      </c>
    </row>
    <row r="12" spans="1:11">
      <c r="A12">
        <v>10</v>
      </c>
      <c r="B12" t="s">
        <v>9</v>
      </c>
      <c r="C12" t="s">
        <v>14</v>
      </c>
      <c r="D12" t="s">
        <v>15</v>
      </c>
      <c r="E12" s="3">
        <v>0</v>
      </c>
      <c r="F12" s="3">
        <v>1.4</v>
      </c>
      <c r="G12" s="3">
        <v>0.6152</v>
      </c>
      <c r="H12" s="3">
        <v>2.0152</v>
      </c>
      <c r="I12" s="4">
        <v>1493.87</v>
      </c>
      <c r="J12" s="5">
        <v>69.47</v>
      </c>
      <c r="K12" s="4">
        <v>3010.4</v>
      </c>
    </row>
    <row r="13" spans="1:11">
      <c r="A13">
        <v>11</v>
      </c>
      <c r="B13" t="s">
        <v>9</v>
      </c>
      <c r="C13" t="s">
        <v>14</v>
      </c>
      <c r="D13" t="s">
        <v>15</v>
      </c>
      <c r="E13" s="3">
        <v>0</v>
      </c>
      <c r="F13" s="3">
        <v>1.4</v>
      </c>
      <c r="G13" s="3">
        <v>0.6167</v>
      </c>
      <c r="H13" s="3">
        <v>2.0167</v>
      </c>
      <c r="I13" s="4">
        <v>1444.07</v>
      </c>
      <c r="J13" s="5">
        <v>69.42</v>
      </c>
      <c r="K13" s="4">
        <v>2912.27</v>
      </c>
    </row>
    <row r="14" spans="1:11">
      <c r="A14">
        <v>12</v>
      </c>
      <c r="B14" t="s">
        <v>9</v>
      </c>
      <c r="C14" t="s">
        <v>14</v>
      </c>
      <c r="D14" t="s">
        <v>15</v>
      </c>
      <c r="E14" s="3">
        <v>0</v>
      </c>
      <c r="F14" s="3">
        <v>1.4</v>
      </c>
      <c r="G14" s="3">
        <v>0.6182</v>
      </c>
      <c r="H14" s="3">
        <v>2.0182</v>
      </c>
      <c r="I14" s="4">
        <v>1394.27</v>
      </c>
      <c r="J14" s="5">
        <v>69.37</v>
      </c>
      <c r="K14" s="4">
        <v>2813.98</v>
      </c>
    </row>
    <row r="15" spans="1:11">
      <c r="A15">
        <v>0</v>
      </c>
      <c r="B15" t="s">
        <v>13</v>
      </c>
      <c r="C15" t="s">
        <v>14</v>
      </c>
      <c r="D15" t="s">
        <v>15</v>
      </c>
      <c r="E15" s="3">
        <v>0</v>
      </c>
      <c r="F15" s="3">
        <v>2.4</v>
      </c>
      <c r="G15" s="3">
        <v>0.6</v>
      </c>
      <c r="H15" s="3">
        <v>3</v>
      </c>
      <c r="I15" s="4">
        <v>1991.82</v>
      </c>
      <c r="J15" s="5">
        <v>80</v>
      </c>
      <c r="K15" s="4">
        <v>5975.46</v>
      </c>
    </row>
    <row r="16" spans="1:11">
      <c r="A16">
        <v>1</v>
      </c>
      <c r="B16" t="s">
        <v>13</v>
      </c>
      <c r="C16" t="s">
        <v>14</v>
      </c>
      <c r="D16" t="s">
        <v>15</v>
      </c>
      <c r="E16" s="3">
        <v>0</v>
      </c>
      <c r="F16" s="3">
        <v>2.4</v>
      </c>
      <c r="G16" s="3">
        <v>0.6015</v>
      </c>
      <c r="H16" s="3">
        <v>3.0015</v>
      </c>
      <c r="I16" s="4">
        <v>1991.82</v>
      </c>
      <c r="J16" s="5">
        <v>79.96</v>
      </c>
      <c r="K16" s="4">
        <v>5978.45</v>
      </c>
    </row>
    <row r="17" spans="1:11">
      <c r="A17">
        <v>2</v>
      </c>
      <c r="B17" t="s">
        <v>13</v>
      </c>
      <c r="C17" t="s">
        <v>14</v>
      </c>
      <c r="D17" t="s">
        <v>15</v>
      </c>
      <c r="E17" s="3">
        <v>0</v>
      </c>
      <c r="F17" s="3">
        <v>2.4</v>
      </c>
      <c r="G17" s="3">
        <v>0.603</v>
      </c>
      <c r="H17" s="3">
        <v>3.003</v>
      </c>
      <c r="I17" s="4">
        <v>1991.82</v>
      </c>
      <c r="J17" s="5">
        <v>79.92</v>
      </c>
      <c r="K17" s="4">
        <v>5981.44</v>
      </c>
    </row>
    <row r="18" spans="1:11">
      <c r="A18">
        <v>3</v>
      </c>
      <c r="B18" t="s">
        <v>13</v>
      </c>
      <c r="C18" t="s">
        <v>14</v>
      </c>
      <c r="D18" t="s">
        <v>15</v>
      </c>
      <c r="E18" s="3">
        <v>0.5</v>
      </c>
      <c r="F18" s="3">
        <v>1.9</v>
      </c>
      <c r="G18" s="3">
        <v>0.6045</v>
      </c>
      <c r="H18" s="3">
        <v>2.5045</v>
      </c>
      <c r="I18" s="4">
        <v>1991.82</v>
      </c>
      <c r="J18" s="5">
        <v>75.86</v>
      </c>
      <c r="K18" s="4">
        <v>4988.54</v>
      </c>
    </row>
    <row r="19" spans="1:11">
      <c r="A19">
        <v>4</v>
      </c>
      <c r="B19" t="s">
        <v>13</v>
      </c>
      <c r="C19" t="s">
        <v>14</v>
      </c>
      <c r="D19" t="s">
        <v>15</v>
      </c>
      <c r="E19" s="3">
        <v>0</v>
      </c>
      <c r="F19" s="3">
        <v>1.9</v>
      </c>
      <c r="G19" s="3">
        <v>0.606</v>
      </c>
      <c r="H19" s="3">
        <v>2.506</v>
      </c>
      <c r="I19" s="4">
        <v>1991.82</v>
      </c>
      <c r="J19" s="5">
        <v>75.82</v>
      </c>
      <c r="K19" s="4">
        <v>4991.55</v>
      </c>
    </row>
    <row r="20" spans="1:11">
      <c r="A20">
        <v>5</v>
      </c>
      <c r="B20" t="s">
        <v>13</v>
      </c>
      <c r="C20" t="s">
        <v>14</v>
      </c>
      <c r="D20" t="s">
        <v>15</v>
      </c>
      <c r="E20" s="3">
        <v>0</v>
      </c>
      <c r="F20" s="3">
        <v>1.9</v>
      </c>
      <c r="G20" s="3">
        <v>0.6075</v>
      </c>
      <c r="H20" s="3">
        <v>2.5075</v>
      </c>
      <c r="I20" s="4">
        <v>1991.82</v>
      </c>
      <c r="J20" s="5">
        <v>75.77</v>
      </c>
      <c r="K20" s="4">
        <v>4994.56</v>
      </c>
    </row>
    <row r="21" spans="1:11">
      <c r="A21">
        <v>6</v>
      </c>
      <c r="B21" t="s">
        <v>13</v>
      </c>
      <c r="C21" t="s">
        <v>14</v>
      </c>
      <c r="D21" t="s">
        <v>15</v>
      </c>
      <c r="E21" s="3">
        <v>0</v>
      </c>
      <c r="F21" s="3">
        <v>1.9</v>
      </c>
      <c r="G21" s="3">
        <v>0.6091</v>
      </c>
      <c r="H21" s="3">
        <v>2.5091</v>
      </c>
      <c r="I21" s="4">
        <v>1991.82</v>
      </c>
      <c r="J21" s="5">
        <v>75.73</v>
      </c>
      <c r="K21" s="4">
        <v>4997.59</v>
      </c>
    </row>
    <row r="22" spans="1:11">
      <c r="A22">
        <v>7</v>
      </c>
      <c r="B22" t="s">
        <v>13</v>
      </c>
      <c r="C22" t="s">
        <v>14</v>
      </c>
      <c r="D22" t="s">
        <v>15</v>
      </c>
      <c r="E22" s="3">
        <v>0</v>
      </c>
      <c r="F22" s="3">
        <v>1.9</v>
      </c>
      <c r="G22" s="3">
        <v>0.6106</v>
      </c>
      <c r="H22" s="3">
        <v>2.5106</v>
      </c>
      <c r="I22" s="4">
        <v>1991.82</v>
      </c>
      <c r="J22" s="5">
        <v>75.68</v>
      </c>
      <c r="K22" s="4">
        <v>5000.62</v>
      </c>
    </row>
    <row r="23" spans="1:11">
      <c r="A23">
        <v>8</v>
      </c>
      <c r="B23" t="s">
        <v>13</v>
      </c>
      <c r="C23" t="s">
        <v>14</v>
      </c>
      <c r="D23" t="s">
        <v>15</v>
      </c>
      <c r="E23" s="3">
        <v>0</v>
      </c>
      <c r="F23" s="3">
        <v>1.9</v>
      </c>
      <c r="G23" s="3">
        <v>0.6121</v>
      </c>
      <c r="H23" s="3">
        <v>2.5121</v>
      </c>
      <c r="I23" s="4">
        <v>1991.82</v>
      </c>
      <c r="J23" s="5">
        <v>75.63</v>
      </c>
      <c r="K23" s="4">
        <v>5003.66</v>
      </c>
    </row>
    <row r="24" spans="1:11">
      <c r="A24">
        <v>9</v>
      </c>
      <c r="B24" t="s">
        <v>13</v>
      </c>
      <c r="C24" t="s">
        <v>14</v>
      </c>
      <c r="D24" t="s">
        <v>15</v>
      </c>
      <c r="E24" s="3">
        <v>0.5</v>
      </c>
      <c r="F24" s="3">
        <v>1.4</v>
      </c>
      <c r="G24" s="3">
        <v>0.6136</v>
      </c>
      <c r="H24" s="3">
        <v>2.0136</v>
      </c>
      <c r="I24" s="4">
        <v>1991.82</v>
      </c>
      <c r="J24" s="5">
        <v>69.53</v>
      </c>
      <c r="K24" s="4">
        <v>4010.8</v>
      </c>
    </row>
    <row r="25" spans="1:11">
      <c r="A25">
        <v>10</v>
      </c>
      <c r="B25" t="s">
        <v>13</v>
      </c>
      <c r="C25" t="s">
        <v>14</v>
      </c>
      <c r="D25" t="s">
        <v>15</v>
      </c>
      <c r="E25" s="3">
        <v>0</v>
      </c>
      <c r="F25" s="3">
        <v>1.4</v>
      </c>
      <c r="G25" s="3">
        <v>0.6152</v>
      </c>
      <c r="H25" s="3">
        <v>2.0152</v>
      </c>
      <c r="I25" s="4">
        <v>1991.82</v>
      </c>
      <c r="J25" s="5">
        <v>69.47</v>
      </c>
      <c r="K25" s="4">
        <v>4013.86</v>
      </c>
    </row>
    <row r="26" spans="1:11">
      <c r="A26">
        <v>11</v>
      </c>
      <c r="B26" t="s">
        <v>13</v>
      </c>
      <c r="C26" t="s">
        <v>14</v>
      </c>
      <c r="D26" t="s">
        <v>15</v>
      </c>
      <c r="E26" s="3">
        <v>0</v>
      </c>
      <c r="F26" s="3">
        <v>1.4</v>
      </c>
      <c r="G26" s="3">
        <v>0.6167</v>
      </c>
      <c r="H26" s="3">
        <v>2.0167</v>
      </c>
      <c r="I26" s="4">
        <v>1991.82</v>
      </c>
      <c r="J26" s="5">
        <v>69.42</v>
      </c>
      <c r="K26" s="4">
        <v>4016.92</v>
      </c>
    </row>
    <row r="27" spans="1:11">
      <c r="A27">
        <v>12</v>
      </c>
      <c r="B27" t="s">
        <v>13</v>
      </c>
      <c r="C27" t="s">
        <v>14</v>
      </c>
      <c r="D27" t="s">
        <v>15</v>
      </c>
      <c r="E27" s="3">
        <v>0</v>
      </c>
      <c r="F27" s="3">
        <v>1.4</v>
      </c>
      <c r="G27" s="3">
        <v>0.6182</v>
      </c>
      <c r="H27" s="3">
        <v>2.0182</v>
      </c>
      <c r="I27" s="4">
        <v>1991.82</v>
      </c>
      <c r="J27" s="5">
        <v>69.37</v>
      </c>
      <c r="K27" s="4">
        <v>4019.99</v>
      </c>
    </row>
    <row r="28" spans="1:11">
      <c r="A28">
        <v>0</v>
      </c>
      <c r="B28" t="s">
        <v>17</v>
      </c>
      <c r="C28" t="s">
        <v>14</v>
      </c>
      <c r="D28" t="s">
        <v>15</v>
      </c>
      <c r="E28" s="3">
        <v>0</v>
      </c>
      <c r="F28" s="3">
        <v>2.4</v>
      </c>
      <c r="G28" s="3">
        <v>0.6</v>
      </c>
      <c r="H28" s="3">
        <v>3</v>
      </c>
      <c r="I28" s="4">
        <v>1991.82</v>
      </c>
      <c r="J28" s="5">
        <v>80</v>
      </c>
      <c r="K28" s="4">
        <v>5975.46</v>
      </c>
    </row>
    <row r="29" spans="1:11">
      <c r="A29">
        <v>1</v>
      </c>
      <c r="B29" t="s">
        <v>17</v>
      </c>
      <c r="C29" t="s">
        <v>14</v>
      </c>
      <c r="D29" t="s">
        <v>15</v>
      </c>
      <c r="E29" s="3">
        <v>0</v>
      </c>
      <c r="F29" s="3">
        <v>2.4</v>
      </c>
      <c r="G29" s="3">
        <v>0.6015</v>
      </c>
      <c r="H29" s="3">
        <v>3.0015</v>
      </c>
      <c r="I29" s="4">
        <v>2041.62</v>
      </c>
      <c r="J29" s="5">
        <v>79.96</v>
      </c>
      <c r="K29" s="4">
        <v>6127.92</v>
      </c>
    </row>
    <row r="30" spans="1:11">
      <c r="A30">
        <v>2</v>
      </c>
      <c r="B30" t="s">
        <v>17</v>
      </c>
      <c r="C30" t="s">
        <v>14</v>
      </c>
      <c r="D30" t="s">
        <v>15</v>
      </c>
      <c r="E30" s="3">
        <v>0</v>
      </c>
      <c r="F30" s="3">
        <v>2.4</v>
      </c>
      <c r="G30" s="3">
        <v>0.603</v>
      </c>
      <c r="H30" s="3">
        <v>3.003</v>
      </c>
      <c r="I30" s="4">
        <v>2091.41</v>
      </c>
      <c r="J30" s="5">
        <v>79.92</v>
      </c>
      <c r="K30" s="4">
        <v>6280.51</v>
      </c>
    </row>
    <row r="31" spans="1:11">
      <c r="A31">
        <v>3</v>
      </c>
      <c r="B31" t="s">
        <v>17</v>
      </c>
      <c r="C31" t="s">
        <v>14</v>
      </c>
      <c r="D31" t="s">
        <v>15</v>
      </c>
      <c r="E31" s="3">
        <v>0.5</v>
      </c>
      <c r="F31" s="3">
        <v>1.9</v>
      </c>
      <c r="G31" s="3">
        <v>0.6045</v>
      </c>
      <c r="H31" s="3">
        <v>2.5045</v>
      </c>
      <c r="I31" s="4">
        <v>2141.21</v>
      </c>
      <c r="J31" s="5">
        <v>75.86</v>
      </c>
      <c r="K31" s="4">
        <v>5362.68</v>
      </c>
    </row>
    <row r="32" spans="1:11">
      <c r="A32">
        <v>4</v>
      </c>
      <c r="B32" t="s">
        <v>17</v>
      </c>
      <c r="C32" t="s">
        <v>14</v>
      </c>
      <c r="D32" t="s">
        <v>15</v>
      </c>
      <c r="E32" s="3">
        <v>0</v>
      </c>
      <c r="F32" s="3">
        <v>1.9</v>
      </c>
      <c r="G32" s="3">
        <v>0.606</v>
      </c>
      <c r="H32" s="3">
        <v>2.506</v>
      </c>
      <c r="I32" s="4">
        <v>2191</v>
      </c>
      <c r="J32" s="5">
        <v>75.82</v>
      </c>
      <c r="K32" s="4">
        <v>5490.7</v>
      </c>
    </row>
    <row r="33" spans="1:11">
      <c r="A33">
        <v>5</v>
      </c>
      <c r="B33" t="s">
        <v>17</v>
      </c>
      <c r="C33" t="s">
        <v>14</v>
      </c>
      <c r="D33" t="s">
        <v>15</v>
      </c>
      <c r="E33" s="3">
        <v>0</v>
      </c>
      <c r="F33" s="3">
        <v>1.9</v>
      </c>
      <c r="G33" s="3">
        <v>0.6075</v>
      </c>
      <c r="H33" s="3">
        <v>2.5075</v>
      </c>
      <c r="I33" s="4">
        <v>2240.8</v>
      </c>
      <c r="J33" s="5">
        <v>75.77</v>
      </c>
      <c r="K33" s="4">
        <v>5618.89</v>
      </c>
    </row>
    <row r="34" spans="1:11">
      <c r="A34">
        <v>6</v>
      </c>
      <c r="B34" t="s">
        <v>17</v>
      </c>
      <c r="C34" t="s">
        <v>14</v>
      </c>
      <c r="D34" t="s">
        <v>15</v>
      </c>
      <c r="E34" s="3">
        <v>0</v>
      </c>
      <c r="F34" s="3">
        <v>1.9</v>
      </c>
      <c r="G34" s="3">
        <v>0.6091</v>
      </c>
      <c r="H34" s="3">
        <v>2.5091</v>
      </c>
      <c r="I34" s="4">
        <v>2290.59</v>
      </c>
      <c r="J34" s="5">
        <v>75.73</v>
      </c>
      <c r="K34" s="4">
        <v>5747.22</v>
      </c>
    </row>
    <row r="35" spans="1:11">
      <c r="A35">
        <v>7</v>
      </c>
      <c r="B35" t="s">
        <v>17</v>
      </c>
      <c r="C35" t="s">
        <v>14</v>
      </c>
      <c r="D35" t="s">
        <v>15</v>
      </c>
      <c r="E35" s="3">
        <v>0</v>
      </c>
      <c r="F35" s="3">
        <v>1.9</v>
      </c>
      <c r="G35" s="3">
        <v>0.6106</v>
      </c>
      <c r="H35" s="3">
        <v>2.5106</v>
      </c>
      <c r="I35" s="4">
        <v>2340.39</v>
      </c>
      <c r="J35" s="5">
        <v>75.68</v>
      </c>
      <c r="K35" s="4">
        <v>5875.73</v>
      </c>
    </row>
    <row r="36" spans="1:11">
      <c r="A36">
        <v>8</v>
      </c>
      <c r="B36" t="s">
        <v>17</v>
      </c>
      <c r="C36" t="s">
        <v>14</v>
      </c>
      <c r="D36" t="s">
        <v>15</v>
      </c>
      <c r="E36" s="3">
        <v>0</v>
      </c>
      <c r="F36" s="3">
        <v>1.9</v>
      </c>
      <c r="G36" s="3">
        <v>0.6121</v>
      </c>
      <c r="H36" s="3">
        <v>2.5121</v>
      </c>
      <c r="I36" s="4">
        <v>2390.18</v>
      </c>
      <c r="J36" s="5">
        <v>75.63</v>
      </c>
      <c r="K36" s="4">
        <v>6004.38</v>
      </c>
    </row>
    <row r="37" spans="1:11">
      <c r="A37">
        <v>9</v>
      </c>
      <c r="B37" t="s">
        <v>17</v>
      </c>
      <c r="C37" t="s">
        <v>14</v>
      </c>
      <c r="D37" t="s">
        <v>15</v>
      </c>
      <c r="E37" s="3">
        <v>0.5</v>
      </c>
      <c r="F37" s="3">
        <v>1.4</v>
      </c>
      <c r="G37" s="3">
        <v>0.6136</v>
      </c>
      <c r="H37" s="3">
        <v>2.0136</v>
      </c>
      <c r="I37" s="4">
        <v>2439.98</v>
      </c>
      <c r="J37" s="5">
        <v>69.53</v>
      </c>
      <c r="K37" s="4">
        <v>4913.23</v>
      </c>
    </row>
    <row r="38" spans="1:11">
      <c r="A38">
        <v>10</v>
      </c>
      <c r="B38" t="s">
        <v>17</v>
      </c>
      <c r="C38" t="s">
        <v>14</v>
      </c>
      <c r="D38" t="s">
        <v>15</v>
      </c>
      <c r="E38" s="3">
        <v>0</v>
      </c>
      <c r="F38" s="3">
        <v>1.4</v>
      </c>
      <c r="G38" s="3">
        <v>0.6152</v>
      </c>
      <c r="H38" s="3">
        <v>2.0152</v>
      </c>
      <c r="I38" s="4">
        <v>2489.78</v>
      </c>
      <c r="J38" s="5">
        <v>69.47</v>
      </c>
      <c r="K38" s="4">
        <v>5017.33</v>
      </c>
    </row>
    <row r="39" spans="1:11">
      <c r="A39">
        <v>11</v>
      </c>
      <c r="B39" t="s">
        <v>17</v>
      </c>
      <c r="C39" t="s">
        <v>14</v>
      </c>
      <c r="D39" t="s">
        <v>15</v>
      </c>
      <c r="E39" s="3">
        <v>0</v>
      </c>
      <c r="F39" s="3">
        <v>1.4</v>
      </c>
      <c r="G39" s="3">
        <v>0.6167</v>
      </c>
      <c r="H39" s="3">
        <v>2.0167</v>
      </c>
      <c r="I39" s="4">
        <v>2539.57</v>
      </c>
      <c r="J39" s="5">
        <v>69.42</v>
      </c>
      <c r="K39" s="4">
        <v>5121.57</v>
      </c>
    </row>
    <row r="40" spans="1:11">
      <c r="A40">
        <v>12</v>
      </c>
      <c r="B40" t="s">
        <v>17</v>
      </c>
      <c r="C40" t="s">
        <v>14</v>
      </c>
      <c r="D40" t="s">
        <v>15</v>
      </c>
      <c r="E40" s="3">
        <v>0</v>
      </c>
      <c r="F40" s="3">
        <v>1.4</v>
      </c>
      <c r="G40" s="3">
        <v>0.6182</v>
      </c>
      <c r="H40" s="3">
        <v>2.0182</v>
      </c>
      <c r="I40" s="4">
        <v>2589.37</v>
      </c>
      <c r="J40" s="5">
        <v>69.37</v>
      </c>
      <c r="K40" s="4">
        <v>5225.99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9" defaultRowHeight="14.4" outlineLevelRow="3" outlineLevelCol="3"/>
  <sheetData>
    <row r="1" spans="1:4">
      <c r="A1" s="1" t="s">
        <v>64</v>
      </c>
      <c r="B1" s="1" t="s">
        <v>11</v>
      </c>
      <c r="C1" s="1" t="s">
        <v>15</v>
      </c>
      <c r="D1" s="1" t="s">
        <v>19</v>
      </c>
    </row>
    <row r="2" spans="1:4">
      <c r="A2" s="1" t="s">
        <v>10</v>
      </c>
      <c r="B2" s="2">
        <v>0.76</v>
      </c>
      <c r="C2" s="2">
        <v>0.7</v>
      </c>
      <c r="D2" s="2">
        <v>0.6</v>
      </c>
    </row>
    <row r="3" spans="1:4">
      <c r="A3" s="1" t="s">
        <v>14</v>
      </c>
      <c r="B3" s="2">
        <v>0.754492334479099</v>
      </c>
      <c r="C3" s="2">
        <v>0.693670405252499</v>
      </c>
      <c r="D3" s="2">
        <v>0.592787915323469</v>
      </c>
    </row>
    <row r="4" spans="1:4">
      <c r="A4" s="1" t="s">
        <v>18</v>
      </c>
      <c r="B4" s="2">
        <v>0.748914068554485</v>
      </c>
      <c r="C4" s="2">
        <v>0.687282967136582</v>
      </c>
      <c r="D4" s="2">
        <v>0.58555373086057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>
    <row r="1" spans="1:1">
      <c r="A1" s="1" t="s">
        <v>65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Inputs</vt:lpstr>
      <vt:lpstr>ScenarioMatrix</vt:lpstr>
      <vt:lpstr>NAVProjection</vt:lpstr>
      <vt:lpstr>ReserveSensitivity</vt:lpstr>
      <vt:lpstr>Charts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JonasWyn</cp:lastModifiedBy>
  <dcterms:created xsi:type="dcterms:W3CDTF">2026-03-28T05:17:00Z</dcterms:created>
  <dcterms:modified xsi:type="dcterms:W3CDTF">2026-03-28T05:22:41Z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1C7FBEABFA7446FA9E5B119E0FC29BF6_12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